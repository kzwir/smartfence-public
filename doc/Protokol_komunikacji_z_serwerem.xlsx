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726"/>
  <workbookPr/>
  <mc:AlternateContent xmlns:mc="http://schemas.openxmlformats.org/markup-compatibility/2006">
    <mc:Choice Requires="x15">
      <x15ac:absPath xmlns:x15ac="http://schemas.microsoft.com/office/spreadsheetml/2010/11/ac" url="D:\Users\sprawka\enovio\plot\smartfence\doc\"/>
    </mc:Choice>
  </mc:AlternateContent>
  <xr:revisionPtr revIDLastSave="0" documentId="13_ncr:1_{6EEE9111-1B99-40E2-9C4F-7AAE02C45DA9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Arkusz1" sheetId="1" r:id="rId1"/>
    <sheet name="mockdata" sheetId="3" r:id="rId2"/>
  </sheets>
  <definedNames>
    <definedName name="ExternalData_1" localSheetId="1" hidden="1">mockdata!$B$1:$T$9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" l="1"/>
  <c r="W4" i="3"/>
  <c r="W5" i="3"/>
  <c r="W6" i="3"/>
  <c r="W7" i="3"/>
  <c r="W8" i="3"/>
  <c r="W9" i="3"/>
  <c r="W2" i="3"/>
  <c r="E10" i="1"/>
  <c r="E11" i="1"/>
  <c r="E12" i="1"/>
  <c r="E13" i="1"/>
  <c r="E14" i="1"/>
  <c r="E15" i="1"/>
  <c r="E17" i="1"/>
  <c r="E18" i="1"/>
  <c r="E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444578-9AEA-40E2-81B4-097D6ABF6DE1}" keepAlive="1" name="Zapytanie — mockdata" description="Połączenie z zapytaniem „mockdata” w skoroszycie." type="5" refreshedVersion="8" background="1" saveData="1">
    <dbPr connection="Provider=Microsoft.Mashup.OleDb.1;Data Source=$Workbook$;Location=mockdata;Extended Properties=&quot;&quot;" command="SELECT * FROM [mockdata]"/>
  </connection>
</connections>
</file>

<file path=xl/sharedStrings.xml><?xml version="1.0" encoding="utf-8"?>
<sst xmlns="http://schemas.openxmlformats.org/spreadsheetml/2006/main" count="262" uniqueCount="99">
  <si>
    <t>A</t>
  </si>
  <si>
    <t>B</t>
  </si>
  <si>
    <t>C</t>
  </si>
  <si>
    <t>D</t>
  </si>
  <si>
    <t>E</t>
  </si>
  <si>
    <t>F</t>
  </si>
  <si>
    <t>G</t>
  </si>
  <si>
    <t xml:space="preserve"> komunikaty o produkcji fotowoltaiki</t>
  </si>
  <si>
    <t xml:space="preserve"> komunikat o wejściu na teren brelokiem RFID</t>
  </si>
  <si>
    <t>komunikat o wejściu na teren po rozpoznaniu twarzy</t>
  </si>
  <si>
    <t>rozbrojenie alarmu</t>
  </si>
  <si>
    <t>uzbrojenie alarmu</t>
  </si>
  <si>
    <t>uruchomienie urządzenia</t>
  </si>
  <si>
    <t>włamanie</t>
  </si>
  <si>
    <t xml:space="preserve"> komunikaty bezpieczeństwa</t>
  </si>
  <si>
    <t>Składowe ramek</t>
  </si>
  <si>
    <t>Nazwa Centrali</t>
  </si>
  <si>
    <t>unikalne- bez możliwości zmiany</t>
  </si>
  <si>
    <t>* ID Centrali</t>
  </si>
  <si>
    <t>możliwość zmiany</t>
  </si>
  <si>
    <t># Nazwa Modułu</t>
  </si>
  <si>
    <t>* ID Modułu</t>
  </si>
  <si>
    <t>Moc</t>
  </si>
  <si>
    <t xml:space="preserve">Napięcie </t>
  </si>
  <si>
    <t>Prąd</t>
  </si>
  <si>
    <t>Nazwa rozpoznanej twarzy</t>
  </si>
  <si>
    <t>Nazwa breloka RFID</t>
  </si>
  <si>
    <t>Przykładowe ramki</t>
  </si>
  <si>
    <t>Data będzie znacznikiem z której godziny jest dany pomiar - pomiary uśredniane są przez 30 s i do centrali wysyłany jest komunikat średniej mocy, prądu, napięcia za ostatnie 30s. Centrala po zebraniu wszystkich pomiarów z modułów prześlę poszczególne wyniki do serwera. </t>
  </si>
  <si>
    <t>Protokół komunikacji centrali z serwerem - v 1.0</t>
  </si>
  <si>
    <t>Rodzaj komunikatu (1)</t>
  </si>
  <si>
    <t>Rodzaj komunikatu (A)</t>
  </si>
  <si>
    <t>Rodzaj komunikatu (B)</t>
  </si>
  <si>
    <t>Rodzaj komunikatu (C)</t>
  </si>
  <si>
    <t>Rodzaj komunikatu (D)</t>
  </si>
  <si>
    <t>Rodzaj komunikatu (E)</t>
  </si>
  <si>
    <t>Rodzaj komunikatu (F)</t>
  </si>
  <si>
    <t>Rodzaj komunikatu (G)</t>
  </si>
  <si>
    <t>Ogólne oznaczenie komunikatów</t>
  </si>
  <si>
    <t>Wszystkie powyższe dane będą przesyłane w formie zmiennej tekstowej.</t>
  </si>
  <si>
    <t>Oznaczenie *</t>
  </si>
  <si>
    <t>Oznaczenie #</t>
  </si>
  <si>
    <t>Data RRRR/MM/DD/hh24/mi/ss</t>
  </si>
  <si>
    <t>CentralaMC;30:AE:A4:07:0D:64;1;2022/11/15/19/14/2;Plot1;30:AE:B4:08:AD:64;53,0;25,0;1,5;</t>
  </si>
  <si>
    <t>CentralaPS;30:AE:A4:07:0D:64;A;2022/09/11/19/8/8;Bramofon2;30:AE:B4:08:AD:64;brelok1;</t>
  </si>
  <si>
    <t>MojaCentrala;30:AE:A4:07:0D:64;A;2022/09/11/19/8/8;Bramofon2;30:AE:B4:08:AD:64;Twarzyczka1;</t>
  </si>
  <si>
    <t>utrata energii - przejście na zasilanie bateryjne</t>
  </si>
  <si>
    <t>CentralaMC;30:AE:A4:07:0D:64;A;2022/09/11/19/8/8;PodLasem;30:AE:B4:08:AD:64;</t>
  </si>
  <si>
    <t>Centralna;30:AE:A4:07:0D:64;A;2022/09/11/1/8/8;</t>
  </si>
  <si>
    <t>CentralaMC;30:AE:A4:07:0D:64;A;2022/09/14/5/8/8;</t>
  </si>
  <si>
    <t>CentralaMC;30:AE:A4:07:0D:64;A;2022/09/8/0/8/8;</t>
  </si>
  <si>
    <t>CentralaMC;30:AE:A4:07:0D:64;A;2022/09/11/19/59/8;</t>
  </si>
  <si>
    <t>call populate_meesage(</t>
  </si>
  <si>
    <t>CentralaMC</t>
  </si>
  <si>
    <t>30:AE:A4:07:0D:64</t>
  </si>
  <si>
    <t>1</t>
  </si>
  <si>
    <t>2022/11/15/19/14/2</t>
  </si>
  <si>
    <t>Plot1</t>
  </si>
  <si>
    <t>30:AE:B4:08:AD:64</t>
  </si>
  <si>
    <t xml:space="preserve">								</t>
  </si>
  <si>
    <t>CentralaPS</t>
  </si>
  <si>
    <t>2022/09/11/19/8/8</t>
  </si>
  <si>
    <t>Bramofon2</t>
  </si>
  <si>
    <t>brelok1</t>
  </si>
  <si>
    <t/>
  </si>
  <si>
    <t>MojaCentrala</t>
  </si>
  <si>
    <t>Twarzyczka1</t>
  </si>
  <si>
    <t>Centralna</t>
  </si>
  <si>
    <t>2022/09/11/1/8/8</t>
  </si>
  <si>
    <t>2022/09/8/0/8/8</t>
  </si>
  <si>
    <t>2022/09/11/19/59/8</t>
  </si>
  <si>
    <t>2022/09/14/5/8/8</t>
  </si>
  <si>
    <t>PodLasem</t>
  </si>
  <si>
    <t>procedure</t>
  </si>
  <si>
    <t>centralId</t>
  </si>
  <si>
    <t>centralName</t>
  </si>
  <si>
    <t>messageTypeId</t>
  </si>
  <si>
    <t>messageDate</t>
  </si>
  <si>
    <t>moduleName</t>
  </si>
  <si>
    <t>moduleId</t>
  </si>
  <si>
    <t>power</t>
  </si>
  <si>
    <t>voltage</t>
  </si>
  <si>
    <t>amperage</t>
  </si>
  <si>
    <t>messageTxt</t>
  </si>
  <si>
    <t>)</t>
  </si>
  <si>
    <t>Column12</t>
  </si>
  <si>
    <t>Kolumna1</t>
  </si>
  <si>
    <t>Kolumna2</t>
  </si>
  <si>
    <t>Kolumna3</t>
  </si>
  <si>
    <t>Kolumna4</t>
  </si>
  <si>
    <t>Kolumna5</t>
  </si>
  <si>
    <t>Kolumna6</t>
  </si>
  <si>
    <t>Kolumna7</t>
  </si>
  <si>
    <t>Kolumna9</t>
  </si>
  <si>
    <t>Kolumna10</t>
  </si>
  <si>
    <t>,</t>
  </si>
  <si>
    <t>53.0</t>
  </si>
  <si>
    <t>1.5</t>
  </si>
  <si>
    <t>call populate_message("30:AE:A4:07:0D:64","CentralaMC",1,"2022/11/15/19/14/2","Plot1","30:AE:B4:08:AD:64",53.0,25,1.5,"");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</si>
</sst>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Arial"/>
      <family val="2"/>
      <charset val="238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/>
    <xf numFmtId="0" fontId="0" fillId="0" borderId="3" xfId="0" applyBorder="1"/>
    <xf numFmtId="0" fontId="0" fillId="5" borderId="0" xfId="0" applyFill="1" applyAlignment="1">
      <alignment horizontal="left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8" borderId="5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0" borderId="8" xfId="0" applyBorder="1"/>
    <xf numFmtId="0" fontId="0" fillId="2" borderId="12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9" borderId="19" xfId="0" applyFill="1" applyBorder="1"/>
    <xf numFmtId="0" fontId="0" fillId="0" borderId="19" xfId="0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10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NumberFormat="1"/>
    <xf numFmtId="49" fontId="0" fillId="0" borderId="0" xfId="0" applyNumberFormat="1"/>
  </cellXfs>
  <cellStyles count="1">
    <cellStyle name="Normalny" xfId="0" builtinId="0"/>
  </cellStyles>
  <dxfs count="10"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9526</xdr:rowOff>
    </xdr:from>
    <xdr:to>
      <xdr:col>2</xdr:col>
      <xdr:colOff>1311864</xdr:colOff>
      <xdr:row>6</xdr:row>
      <xdr:rowOff>85725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7893B7B7-97E5-4504-8FEE-82CB5460F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9526"/>
          <a:ext cx="1902414" cy="120649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E2D9042-5A18-4A48-8A5E-9040014DDDF9}" autoFormatId="16" applyNumberFormats="0" applyBorderFormats="0" applyFontFormats="0" applyPatternFormats="0" applyAlignmentFormats="0" applyWidthHeightFormats="0">
  <queryTableRefresh nextId="23" unboundColumnsRight="1">
    <queryTableFields count="20">
      <queryTableField id="1" name="Column1" tableColumnId="1"/>
      <queryTableField id="13" dataBound="0" tableColumnId="13"/>
      <queryTableField id="2" name="Column2" tableColumnId="2"/>
      <queryTableField id="14" dataBound="0" tableColumnId="14"/>
      <queryTableField id="3" name="Column3" tableColumnId="3"/>
      <queryTableField id="15" dataBound="0" tableColumnId="15"/>
      <queryTableField id="4" name="Column4" tableColumnId="4"/>
      <queryTableField id="16" dataBound="0" tableColumnId="16"/>
      <queryTableField id="5" name="Column5" tableColumnId="5"/>
      <queryTableField id="17" dataBound="0" tableColumnId="17"/>
      <queryTableField id="6" name="Column6" tableColumnId="6"/>
      <queryTableField id="18" dataBound="0" tableColumnId="18"/>
      <queryTableField id="7" name="Column7" tableColumnId="7"/>
      <queryTableField id="19" dataBound="0" tableColumnId="19"/>
      <queryTableField id="8" name="Column8" tableColumnId="8"/>
      <queryTableField id="21" dataBound="0" tableColumnId="21"/>
      <queryTableField id="9" name="Column9" tableColumnId="9"/>
      <queryTableField id="22" dataBound="0" tableColumnId="22"/>
      <queryTableField id="10" name="Column10" tableColumnId="10"/>
      <queryTableField id="12" dataBound="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55CE83-B4AD-4BBE-84FC-18A4D7860550}" name="mockdata" displayName="mockdata" ref="B1:U9" tableType="queryTable" totalsRowShown="0">
  <autoFilter ref="B1:U9" xr:uid="{CA55CE83-B4AD-4BBE-84FC-18A4D7860550}"/>
  <tableColumns count="20">
    <tableColumn id="1" xr3:uid="{FE536150-1021-4042-969C-708FD9C06CB3}" uniqueName="1" name="centralId" queryTableFieldId="1" dataDxfId="9"/>
    <tableColumn id="13" xr3:uid="{980A2432-7A6B-4531-A527-D248C57AAB76}" uniqueName="13" name="Kolumna1" queryTableFieldId="13"/>
    <tableColumn id="2" xr3:uid="{E9B2FA2E-711F-4BBA-B964-A5CF200698AE}" uniqueName="2" name="centralName" queryTableFieldId="2" dataDxfId="8"/>
    <tableColumn id="14" xr3:uid="{CA9666E5-37D2-41CD-A774-ABA70ECE85B1}" uniqueName="14" name="Kolumna2" queryTableFieldId="14"/>
    <tableColumn id="3" xr3:uid="{5AD33D22-57FA-471C-BD5E-55E1EF18655A}" uniqueName="3" name="messageTypeId" queryTableFieldId="3" dataDxfId="7"/>
    <tableColumn id="15" xr3:uid="{93AB2123-679C-42F5-88DC-3B88BEE32A80}" uniqueName="15" name="Kolumna3" queryTableFieldId="15"/>
    <tableColumn id="4" xr3:uid="{1AC05B9B-6327-4C89-9D4A-8066149A127C}" uniqueName="4" name="messageDate" queryTableFieldId="4" dataDxfId="6"/>
    <tableColumn id="16" xr3:uid="{7AC8EC44-5386-4CEF-9239-F4044D700C06}" uniqueName="16" name="Kolumna4" queryTableFieldId="16"/>
    <tableColumn id="5" xr3:uid="{E2FD9360-494A-467B-8F4A-0221AE16D0FC}" uniqueName="5" name="moduleName" queryTableFieldId="5" dataDxfId="5"/>
    <tableColumn id="17" xr3:uid="{6A948A54-EADE-4BE2-97CE-B6C3BF0B3513}" uniqueName="17" name="Kolumna5" queryTableFieldId="17"/>
    <tableColumn id="6" xr3:uid="{F8B520CE-04AC-4415-94D7-B9CB0B10F817}" uniqueName="6" name="moduleId" queryTableFieldId="6" dataDxfId="4"/>
    <tableColumn id="18" xr3:uid="{75190B2F-7384-4FCF-B9C3-6AE42D4272D5}" uniqueName="18" name="Kolumna6" queryTableFieldId="18"/>
    <tableColumn id="7" xr3:uid="{722DF67F-42E3-4FCF-9AD6-E86D6C193B74}" uniqueName="7" name="power" queryTableFieldId="7" dataDxfId="3"/>
    <tableColumn id="19" xr3:uid="{8770132D-7E00-4F51-9CDA-07301F91D21F}" uniqueName="19" name="Kolumna7" queryTableFieldId="19"/>
    <tableColumn id="8" xr3:uid="{352703B9-631F-46EC-B49B-651ED4779F6A}" uniqueName="8" name="voltage" queryTableFieldId="8"/>
    <tableColumn id="21" xr3:uid="{25AC5EDA-88BF-4F0D-A1CC-7C5B735AE46D}" uniqueName="21" name="Kolumna9" queryTableFieldId="21"/>
    <tableColumn id="9" xr3:uid="{6EECBDB9-3C7F-490F-88C4-697B5C5D6EC6}" uniqueName="9" name="amperage" queryTableFieldId="9" dataDxfId="0"/>
    <tableColumn id="22" xr3:uid="{AF1EAB0E-2FB8-4A5F-8F9C-7C14BB82E934}" uniqueName="22" name="Kolumna10" queryTableFieldId="22"/>
    <tableColumn id="10" xr3:uid="{FD656F9F-FE4B-4535-91C9-4F3C17CEF77B}" uniqueName="10" name="messageTxt" queryTableFieldId="10" dataDxfId="2"/>
    <tableColumn id="12" xr3:uid="{2B90DB0F-D76C-4CE8-8681-39A88A5DE6E3}" uniqueName="12" name="Column12" queryTableFieldId="12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M44"/>
  <sheetViews>
    <sheetView workbookViewId="0">
      <selection activeCell="D34" sqref="D34:L37"/>
    </sheetView>
  </sheetViews>
  <sheetFormatPr defaultRowHeight="14.5" x14ac:dyDescent="0.35"/>
  <cols>
    <col min="1" max="1" width="4.08984375" customWidth="1"/>
    <col min="2" max="2" width="5.453125" customWidth="1"/>
    <col min="3" max="3" width="22.7265625" customWidth="1"/>
    <col min="4" max="4" width="48.54296875" bestFit="1" customWidth="1"/>
    <col min="5" max="5" width="11.7265625" bestFit="1" customWidth="1"/>
    <col min="6" max="6" width="20.81640625" bestFit="1" customWidth="1"/>
    <col min="7" max="7" width="28.1796875" bestFit="1" customWidth="1"/>
    <col min="8" max="8" width="15.7265625" bestFit="1" customWidth="1"/>
    <col min="9" max="9" width="11.54296875" bestFit="1" customWidth="1"/>
    <col min="10" max="10" width="24.81640625" bestFit="1" customWidth="1"/>
    <col min="12" max="12" width="7.453125" customWidth="1"/>
  </cols>
  <sheetData>
    <row r="4" spans="3:10" ht="18" x14ac:dyDescent="0.4">
      <c r="D4" s="21" t="s">
        <v>29</v>
      </c>
      <c r="E4" s="22"/>
      <c r="F4" s="22"/>
      <c r="G4" s="22"/>
      <c r="H4" s="22"/>
      <c r="I4" s="22"/>
      <c r="J4" s="22"/>
    </row>
    <row r="8" spans="3:10" ht="15" thickBot="1" x14ac:dyDescent="0.4"/>
    <row r="9" spans="3:10" ht="15" thickBot="1" x14ac:dyDescent="0.4">
      <c r="C9" s="23" t="s">
        <v>38</v>
      </c>
      <c r="D9" s="24"/>
    </row>
    <row r="10" spans="3:10" ht="15" thickBot="1" x14ac:dyDescent="0.4">
      <c r="C10" s="18">
        <v>1</v>
      </c>
      <c r="D10" s="8" t="s">
        <v>7</v>
      </c>
      <c r="E10">
        <f t="shared" ref="E10:E15" si="0">LEN(D10)</f>
        <v>36</v>
      </c>
    </row>
    <row r="11" spans="3:10" x14ac:dyDescent="0.35">
      <c r="C11" s="15">
        <v>2</v>
      </c>
      <c r="D11" s="2" t="s">
        <v>14</v>
      </c>
      <c r="E11">
        <f t="shared" si="0"/>
        <v>26</v>
      </c>
    </row>
    <row r="12" spans="3:10" x14ac:dyDescent="0.35">
      <c r="C12" s="16" t="s">
        <v>0</v>
      </c>
      <c r="D12" s="2" t="s">
        <v>8</v>
      </c>
      <c r="E12">
        <f t="shared" si="0"/>
        <v>44</v>
      </c>
    </row>
    <row r="13" spans="3:10" x14ac:dyDescent="0.35">
      <c r="C13" s="16" t="s">
        <v>1</v>
      </c>
      <c r="D13" s="2" t="s">
        <v>9</v>
      </c>
      <c r="E13">
        <f t="shared" si="0"/>
        <v>50</v>
      </c>
    </row>
    <row r="14" spans="3:10" x14ac:dyDescent="0.35">
      <c r="C14" s="16" t="s">
        <v>2</v>
      </c>
      <c r="D14" s="2" t="s">
        <v>10</v>
      </c>
      <c r="E14">
        <f t="shared" si="0"/>
        <v>18</v>
      </c>
    </row>
    <row r="15" spans="3:10" x14ac:dyDescent="0.35">
      <c r="C15" s="16" t="s">
        <v>3</v>
      </c>
      <c r="D15" s="2" t="s">
        <v>11</v>
      </c>
      <c r="E15">
        <f t="shared" si="0"/>
        <v>17</v>
      </c>
    </row>
    <row r="16" spans="3:10" x14ac:dyDescent="0.35">
      <c r="C16" s="16" t="s">
        <v>4</v>
      </c>
      <c r="D16" s="2" t="s">
        <v>46</v>
      </c>
      <c r="E16">
        <f>LEN(D16)</f>
        <v>49</v>
      </c>
    </row>
    <row r="17" spans="3:13" x14ac:dyDescent="0.35">
      <c r="C17" s="16" t="s">
        <v>5</v>
      </c>
      <c r="D17" s="2" t="s">
        <v>12</v>
      </c>
      <c r="E17">
        <f t="shared" ref="E17:E18" si="1">LEN(D17)</f>
        <v>23</v>
      </c>
    </row>
    <row r="18" spans="3:13" ht="15" thickBot="1" x14ac:dyDescent="0.4">
      <c r="C18" s="17" t="s">
        <v>6</v>
      </c>
      <c r="D18" s="2" t="s">
        <v>13</v>
      </c>
      <c r="E18">
        <f t="shared" si="1"/>
        <v>8</v>
      </c>
    </row>
    <row r="19" spans="3:13" ht="15" thickBot="1" x14ac:dyDescent="0.4"/>
    <row r="20" spans="3:13" ht="15" thickBot="1" x14ac:dyDescent="0.4">
      <c r="C20" s="29" t="s">
        <v>15</v>
      </c>
      <c r="D20" s="30"/>
      <c r="E20" s="30"/>
      <c r="F20" s="30"/>
      <c r="G20" s="30"/>
      <c r="H20" s="30"/>
      <c r="I20" s="30"/>
      <c r="J20" s="30"/>
      <c r="K20" s="30"/>
      <c r="L20" s="31"/>
    </row>
    <row r="21" spans="3:13" x14ac:dyDescent="0.35">
      <c r="C21" s="13">
        <v>1</v>
      </c>
      <c r="D21" s="14" t="s">
        <v>16</v>
      </c>
      <c r="E21" s="12" t="s">
        <v>18</v>
      </c>
      <c r="F21" s="12" t="s">
        <v>30</v>
      </c>
      <c r="G21" s="12" t="s">
        <v>42</v>
      </c>
      <c r="H21" s="12" t="s">
        <v>20</v>
      </c>
      <c r="I21" s="12" t="s">
        <v>21</v>
      </c>
      <c r="J21" s="12" t="s">
        <v>22</v>
      </c>
      <c r="K21" s="12" t="s">
        <v>23</v>
      </c>
      <c r="L21" s="12" t="s">
        <v>24</v>
      </c>
      <c r="M21" s="7">
        <v>1</v>
      </c>
    </row>
    <row r="22" spans="3:13" x14ac:dyDescent="0.35">
      <c r="C22" s="4" t="s">
        <v>0</v>
      </c>
      <c r="D22" s="6" t="s">
        <v>16</v>
      </c>
      <c r="E22" s="1" t="s">
        <v>18</v>
      </c>
      <c r="F22" s="1" t="s">
        <v>31</v>
      </c>
      <c r="G22" s="12" t="s">
        <v>42</v>
      </c>
      <c r="H22" s="1" t="s">
        <v>20</v>
      </c>
      <c r="I22" s="1" t="s">
        <v>21</v>
      </c>
      <c r="J22" s="1" t="s">
        <v>26</v>
      </c>
      <c r="K22" s="1"/>
      <c r="L22" s="1"/>
      <c r="M22">
        <v>2</v>
      </c>
    </row>
    <row r="23" spans="3:13" x14ac:dyDescent="0.35">
      <c r="C23" s="4" t="s">
        <v>1</v>
      </c>
      <c r="D23" s="6" t="s">
        <v>16</v>
      </c>
      <c r="E23" s="1" t="s">
        <v>18</v>
      </c>
      <c r="F23" s="1" t="s">
        <v>32</v>
      </c>
      <c r="G23" s="12" t="s">
        <v>42</v>
      </c>
      <c r="H23" s="1" t="s">
        <v>20</v>
      </c>
      <c r="I23" s="1" t="s">
        <v>21</v>
      </c>
      <c r="J23" s="1" t="s">
        <v>25</v>
      </c>
      <c r="K23" s="1"/>
      <c r="L23" s="1"/>
      <c r="M23">
        <v>2</v>
      </c>
    </row>
    <row r="24" spans="3:13" x14ac:dyDescent="0.35">
      <c r="C24" s="4" t="s">
        <v>2</v>
      </c>
      <c r="D24" s="6" t="s">
        <v>16</v>
      </c>
      <c r="E24" s="1" t="s">
        <v>18</v>
      </c>
      <c r="F24" s="1" t="s">
        <v>33</v>
      </c>
      <c r="G24" s="12" t="s">
        <v>42</v>
      </c>
      <c r="H24" s="1"/>
      <c r="I24" s="1"/>
      <c r="J24" s="1"/>
      <c r="K24" s="1"/>
      <c r="L24" s="1"/>
      <c r="M24">
        <v>3</v>
      </c>
    </row>
    <row r="25" spans="3:13" x14ac:dyDescent="0.35">
      <c r="C25" s="4" t="s">
        <v>3</v>
      </c>
      <c r="D25" s="6" t="s">
        <v>16</v>
      </c>
      <c r="E25" s="1" t="s">
        <v>18</v>
      </c>
      <c r="F25" s="1" t="s">
        <v>34</v>
      </c>
      <c r="G25" s="12" t="s">
        <v>42</v>
      </c>
      <c r="H25" s="1"/>
      <c r="I25" s="1"/>
      <c r="J25" s="1"/>
      <c r="K25" s="1"/>
      <c r="L25" s="1"/>
      <c r="M25">
        <v>3</v>
      </c>
    </row>
    <row r="26" spans="3:13" x14ac:dyDescent="0.35">
      <c r="C26" s="4" t="s">
        <v>4</v>
      </c>
      <c r="D26" s="6" t="s">
        <v>16</v>
      </c>
      <c r="E26" s="1" t="s">
        <v>18</v>
      </c>
      <c r="F26" s="1" t="s">
        <v>35</v>
      </c>
      <c r="G26" s="12" t="s">
        <v>42</v>
      </c>
      <c r="H26" s="1"/>
      <c r="I26" s="1"/>
      <c r="J26" s="1"/>
      <c r="K26" s="1"/>
      <c r="L26" s="1"/>
      <c r="M26">
        <v>3</v>
      </c>
    </row>
    <row r="27" spans="3:13" x14ac:dyDescent="0.35">
      <c r="C27" s="4" t="s">
        <v>5</v>
      </c>
      <c r="D27" s="6" t="s">
        <v>16</v>
      </c>
      <c r="E27" s="1" t="s">
        <v>18</v>
      </c>
      <c r="F27" s="1" t="s">
        <v>36</v>
      </c>
      <c r="G27" s="12" t="s">
        <v>42</v>
      </c>
      <c r="H27" s="1"/>
      <c r="I27" s="1"/>
      <c r="J27" s="1"/>
      <c r="K27" s="1"/>
      <c r="L27" s="1"/>
      <c r="M27">
        <v>3</v>
      </c>
    </row>
    <row r="28" spans="3:13" ht="15" thickBot="1" x14ac:dyDescent="0.4">
      <c r="C28" s="5" t="s">
        <v>6</v>
      </c>
      <c r="D28" s="6" t="s">
        <v>16</v>
      </c>
      <c r="E28" s="1" t="s">
        <v>18</v>
      </c>
      <c r="F28" s="1" t="s">
        <v>37</v>
      </c>
      <c r="G28" s="12" t="s">
        <v>42</v>
      </c>
      <c r="H28" s="1" t="s">
        <v>20</v>
      </c>
      <c r="I28" s="1" t="s">
        <v>21</v>
      </c>
      <c r="J28" s="1"/>
      <c r="K28" s="1"/>
      <c r="L28" s="1"/>
      <c r="M28">
        <v>4</v>
      </c>
    </row>
    <row r="29" spans="3:13" ht="15" thickBot="1" x14ac:dyDescent="0.4"/>
    <row r="30" spans="3:13" ht="15" thickBot="1" x14ac:dyDescent="0.4">
      <c r="C30" s="26" t="s">
        <v>27</v>
      </c>
      <c r="D30" s="27"/>
      <c r="E30" s="27"/>
      <c r="F30" s="27"/>
      <c r="G30" s="27"/>
      <c r="H30" s="27"/>
      <c r="I30" s="27"/>
      <c r="J30" s="27"/>
      <c r="K30" s="27"/>
      <c r="L30" s="28"/>
    </row>
    <row r="31" spans="3:13" x14ac:dyDescent="0.35">
      <c r="C31" s="11">
        <v>1</v>
      </c>
      <c r="D31" s="32" t="s">
        <v>43</v>
      </c>
      <c r="E31" s="33"/>
      <c r="F31" s="33"/>
      <c r="G31" s="33"/>
      <c r="H31" s="33"/>
      <c r="I31" s="33"/>
      <c r="J31" s="33"/>
      <c r="K31" s="33"/>
      <c r="L31" s="34"/>
    </row>
    <row r="32" spans="3:13" x14ac:dyDescent="0.35">
      <c r="C32" s="9" t="s">
        <v>0</v>
      </c>
      <c r="D32" s="35" t="s">
        <v>44</v>
      </c>
      <c r="E32" s="36"/>
      <c r="F32" s="36"/>
      <c r="G32" s="36"/>
      <c r="H32" s="36"/>
      <c r="I32" s="36"/>
      <c r="J32" s="36"/>
      <c r="K32" s="36"/>
      <c r="L32" s="37"/>
    </row>
    <row r="33" spans="3:12" x14ac:dyDescent="0.35">
      <c r="C33" s="9" t="s">
        <v>1</v>
      </c>
      <c r="D33" s="35" t="s">
        <v>45</v>
      </c>
      <c r="E33" s="36"/>
      <c r="F33" s="36"/>
      <c r="G33" s="36"/>
      <c r="H33" s="36"/>
      <c r="I33" s="36"/>
      <c r="J33" s="36"/>
      <c r="K33" s="36"/>
      <c r="L33" s="37"/>
    </row>
    <row r="34" spans="3:12" x14ac:dyDescent="0.35">
      <c r="C34" s="9" t="s">
        <v>2</v>
      </c>
      <c r="D34" s="35" t="s">
        <v>48</v>
      </c>
      <c r="E34" s="36"/>
      <c r="F34" s="36"/>
      <c r="G34" s="36"/>
      <c r="H34" s="36"/>
      <c r="I34" s="36"/>
      <c r="J34" s="36"/>
      <c r="K34" s="36"/>
      <c r="L34" s="37"/>
    </row>
    <row r="35" spans="3:12" x14ac:dyDescent="0.35">
      <c r="C35" s="9" t="s">
        <v>3</v>
      </c>
      <c r="D35" s="35" t="s">
        <v>50</v>
      </c>
      <c r="E35" s="36"/>
      <c r="F35" s="36"/>
      <c r="G35" s="36"/>
      <c r="H35" s="36"/>
      <c r="I35" s="36"/>
      <c r="J35" s="36"/>
      <c r="K35" s="36"/>
      <c r="L35" s="37"/>
    </row>
    <row r="36" spans="3:12" x14ac:dyDescent="0.35">
      <c r="C36" s="9" t="s">
        <v>4</v>
      </c>
      <c r="D36" s="35" t="s">
        <v>51</v>
      </c>
      <c r="E36" s="36"/>
      <c r="F36" s="36"/>
      <c r="G36" s="36"/>
      <c r="H36" s="36"/>
      <c r="I36" s="36"/>
      <c r="J36" s="36"/>
      <c r="K36" s="36"/>
      <c r="L36" s="37"/>
    </row>
    <row r="37" spans="3:12" x14ac:dyDescent="0.35">
      <c r="C37" s="9" t="s">
        <v>5</v>
      </c>
      <c r="D37" s="35" t="s">
        <v>49</v>
      </c>
      <c r="E37" s="36"/>
      <c r="F37" s="36"/>
      <c r="G37" s="36"/>
      <c r="H37" s="36"/>
      <c r="I37" s="36"/>
      <c r="J37" s="36"/>
      <c r="K37" s="36"/>
      <c r="L37" s="37"/>
    </row>
    <row r="38" spans="3:12" ht="15" thickBot="1" x14ac:dyDescent="0.4">
      <c r="C38" s="10" t="s">
        <v>6</v>
      </c>
      <c r="D38" s="35" t="s">
        <v>47</v>
      </c>
      <c r="E38" s="36"/>
      <c r="F38" s="36"/>
      <c r="G38" s="36"/>
      <c r="H38" s="36"/>
      <c r="I38" s="36"/>
      <c r="J38" s="36"/>
      <c r="K38" s="36"/>
      <c r="L38" s="37"/>
    </row>
    <row r="41" spans="3:12" x14ac:dyDescent="0.35">
      <c r="C41" s="3" t="s">
        <v>39</v>
      </c>
    </row>
    <row r="42" spans="3:12" x14ac:dyDescent="0.35">
      <c r="C42" s="3" t="s">
        <v>40</v>
      </c>
      <c r="D42" t="s">
        <v>17</v>
      </c>
    </row>
    <row r="43" spans="3:12" x14ac:dyDescent="0.35">
      <c r="C43" s="3" t="s">
        <v>41</v>
      </c>
      <c r="D43" t="s">
        <v>19</v>
      </c>
    </row>
    <row r="44" spans="3:12" ht="42.5" customHeight="1" x14ac:dyDescent="0.35">
      <c r="C44" s="25" t="s">
        <v>28</v>
      </c>
      <c r="D44" s="25"/>
      <c r="E44" s="25"/>
      <c r="F44" s="25"/>
      <c r="G44" s="25"/>
      <c r="H44" s="25"/>
      <c r="I44" s="25"/>
      <c r="J44" s="25"/>
      <c r="K44" s="25"/>
      <c r="L44" s="25"/>
    </row>
  </sheetData>
  <mergeCells count="13">
    <mergeCell ref="D4:J4"/>
    <mergeCell ref="C9:D9"/>
    <mergeCell ref="C44:L44"/>
    <mergeCell ref="C30:L30"/>
    <mergeCell ref="C20:L20"/>
    <mergeCell ref="D31:L31"/>
    <mergeCell ref="D32:L32"/>
    <mergeCell ref="D33:L33"/>
    <mergeCell ref="D34:L34"/>
    <mergeCell ref="D35:L35"/>
    <mergeCell ref="D36:L36"/>
    <mergeCell ref="D37:L37"/>
    <mergeCell ref="D38:L3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CC17-C6BD-47CE-AEEA-352B0CACDC79}">
  <dimension ref="A1:W17"/>
  <sheetViews>
    <sheetView tabSelected="1" workbookViewId="0">
      <selection activeCell="A17" sqref="A17"/>
    </sheetView>
  </sheetViews>
  <sheetFormatPr defaultRowHeight="14.5" x14ac:dyDescent="0.35"/>
  <cols>
    <col min="1" max="1" width="20.6328125" bestFit="1" customWidth="1"/>
    <col min="2" max="2" width="16.26953125" bestFit="1" customWidth="1"/>
    <col min="3" max="3" width="11.54296875" bestFit="1" customWidth="1"/>
    <col min="4" max="4" width="13.81640625" bestFit="1" customWidth="1"/>
    <col min="5" max="5" width="11.54296875" bestFit="1" customWidth="1"/>
    <col min="6" max="6" width="16" bestFit="1" customWidth="1"/>
    <col min="7" max="7" width="11.54296875" bestFit="1" customWidth="1"/>
    <col min="8" max="8" width="18.08984375" bestFit="1" customWidth="1"/>
    <col min="9" max="9" width="11.54296875" bestFit="1" customWidth="1"/>
    <col min="10" max="10" width="14.36328125" bestFit="1" customWidth="1"/>
    <col min="11" max="11" width="11.54296875" bestFit="1" customWidth="1"/>
    <col min="12" max="12" width="16.36328125" bestFit="1" customWidth="1"/>
    <col min="13" max="13" width="11.54296875" bestFit="1" customWidth="1"/>
    <col min="14" max="14" width="8.81640625" bestFit="1" customWidth="1"/>
    <col min="15" max="15" width="11.54296875" bestFit="1" customWidth="1"/>
    <col min="17" max="17" width="11.54296875" bestFit="1" customWidth="1"/>
    <col min="18" max="18" width="11.453125" bestFit="1" customWidth="1"/>
    <col min="19" max="19" width="12.54296875" bestFit="1" customWidth="1"/>
    <col min="20" max="20" width="12.90625" bestFit="1" customWidth="1"/>
    <col min="21" max="21" width="11.54296875" bestFit="1" customWidth="1"/>
  </cols>
  <sheetData>
    <row r="1" spans="1:23" x14ac:dyDescent="0.35">
      <c r="A1" t="s">
        <v>73</v>
      </c>
      <c r="B1" t="s">
        <v>74</v>
      </c>
      <c r="C1" t="s">
        <v>86</v>
      </c>
      <c r="D1" t="s">
        <v>75</v>
      </c>
      <c r="E1" t="s">
        <v>87</v>
      </c>
      <c r="F1" t="s">
        <v>76</v>
      </c>
      <c r="G1" t="s">
        <v>88</v>
      </c>
      <c r="H1" t="s">
        <v>77</v>
      </c>
      <c r="I1" t="s">
        <v>89</v>
      </c>
      <c r="J1" t="s">
        <v>78</v>
      </c>
      <c r="K1" t="s">
        <v>90</v>
      </c>
      <c r="L1" t="s">
        <v>79</v>
      </c>
      <c r="M1" t="s">
        <v>91</v>
      </c>
      <c r="N1" t="s">
        <v>80</v>
      </c>
      <c r="O1" t="s">
        <v>92</v>
      </c>
      <c r="P1" t="s">
        <v>81</v>
      </c>
      <c r="Q1" t="s">
        <v>93</v>
      </c>
      <c r="R1" t="s">
        <v>82</v>
      </c>
      <c r="S1" t="s">
        <v>94</v>
      </c>
      <c r="T1" t="s">
        <v>83</v>
      </c>
      <c r="U1" t="s">
        <v>85</v>
      </c>
    </row>
    <row r="2" spans="1:23" x14ac:dyDescent="0.35">
      <c r="A2" t="s">
        <v>52</v>
      </c>
      <c r="B2" t="s">
        <v>54</v>
      </c>
      <c r="C2" t="s">
        <v>95</v>
      </c>
      <c r="D2" s="19" t="s">
        <v>53</v>
      </c>
      <c r="E2" t="s">
        <v>95</v>
      </c>
      <c r="F2" t="s">
        <v>55</v>
      </c>
      <c r="G2" t="s">
        <v>95</v>
      </c>
      <c r="H2" t="s">
        <v>56</v>
      </c>
      <c r="I2" t="s">
        <v>95</v>
      </c>
      <c r="J2" t="s">
        <v>57</v>
      </c>
      <c r="K2" t="s">
        <v>95</v>
      </c>
      <c r="L2" t="s">
        <v>58</v>
      </c>
      <c r="M2" t="s">
        <v>95</v>
      </c>
      <c r="N2" t="s">
        <v>96</v>
      </c>
      <c r="O2" t="s">
        <v>95</v>
      </c>
      <c r="P2">
        <v>25</v>
      </c>
      <c r="Q2" t="s">
        <v>95</v>
      </c>
      <c r="R2" s="39" t="s">
        <v>97</v>
      </c>
      <c r="S2" t="s">
        <v>95</v>
      </c>
      <c r="T2" t="s">
        <v>59</v>
      </c>
      <c r="U2" s="38" t="s">
        <v>84</v>
      </c>
      <c r="W2" t="str">
        <f>_xlfn.CONCAT(A2:U2)</f>
        <v>call populate_meesage(30:AE:A4:07:0D:64,CentralaMC,1,2022/11/15/19/14/2,Plot1,30:AE:B4:08:AD:64,53.0,25,1.5,								)</v>
      </c>
    </row>
    <row r="3" spans="1:23" x14ac:dyDescent="0.35">
      <c r="A3" t="s">
        <v>52</v>
      </c>
      <c r="B3" t="s">
        <v>54</v>
      </c>
      <c r="C3" t="s">
        <v>95</v>
      </c>
      <c r="D3" s="20" t="s">
        <v>60</v>
      </c>
      <c r="E3" t="s">
        <v>95</v>
      </c>
      <c r="F3" t="s">
        <v>0</v>
      </c>
      <c r="G3" t="s">
        <v>95</v>
      </c>
      <c r="H3" t="s">
        <v>61</v>
      </c>
      <c r="I3" t="s">
        <v>95</v>
      </c>
      <c r="J3" t="s">
        <v>62</v>
      </c>
      <c r="K3" t="s">
        <v>95</v>
      </c>
      <c r="L3" t="s">
        <v>58</v>
      </c>
      <c r="M3" t="s">
        <v>95</v>
      </c>
      <c r="O3" t="s">
        <v>95</v>
      </c>
      <c r="Q3" t="s">
        <v>95</v>
      </c>
      <c r="R3" s="39"/>
      <c r="S3" t="s">
        <v>95</v>
      </c>
      <c r="T3" t="s">
        <v>63</v>
      </c>
      <c r="U3" s="38" t="s">
        <v>84</v>
      </c>
      <c r="W3" t="str">
        <f t="shared" ref="W3:W9" si="0">_xlfn.CONCAT(A3:U3)</f>
        <v>call populate_meesage(30:AE:A4:07:0D:64,CentralaPS,A,2022/09/11/19/8/8,Bramofon2,30:AE:B4:08:AD:64,,,,brelok1)</v>
      </c>
    </row>
    <row r="4" spans="1:23" x14ac:dyDescent="0.35">
      <c r="A4" t="s">
        <v>52</v>
      </c>
      <c r="B4" t="s">
        <v>54</v>
      </c>
      <c r="C4" t="s">
        <v>95</v>
      </c>
      <c r="D4" s="19" t="s">
        <v>65</v>
      </c>
      <c r="E4" t="s">
        <v>95</v>
      </c>
      <c r="F4" t="s">
        <v>0</v>
      </c>
      <c r="G4" t="s">
        <v>95</v>
      </c>
      <c r="H4" t="s">
        <v>61</v>
      </c>
      <c r="I4" t="s">
        <v>95</v>
      </c>
      <c r="J4" t="s">
        <v>62</v>
      </c>
      <c r="K4" t="s">
        <v>95</v>
      </c>
      <c r="L4" t="s">
        <v>58</v>
      </c>
      <c r="M4" t="s">
        <v>95</v>
      </c>
      <c r="O4" t="s">
        <v>95</v>
      </c>
      <c r="Q4" t="s">
        <v>95</v>
      </c>
      <c r="R4" s="39"/>
      <c r="S4" t="s">
        <v>95</v>
      </c>
      <c r="T4" t="s">
        <v>66</v>
      </c>
      <c r="U4" s="38" t="s">
        <v>84</v>
      </c>
      <c r="W4" t="str">
        <f t="shared" si="0"/>
        <v>call populate_meesage(30:AE:A4:07:0D:64,MojaCentrala,A,2022/09/11/19/8/8,Bramofon2,30:AE:B4:08:AD:64,,,,Twarzyczka1)</v>
      </c>
    </row>
    <row r="5" spans="1:23" x14ac:dyDescent="0.35">
      <c r="A5" t="s">
        <v>52</v>
      </c>
      <c r="B5" t="s">
        <v>54</v>
      </c>
      <c r="C5" t="s">
        <v>95</v>
      </c>
      <c r="D5" s="20" t="s">
        <v>67</v>
      </c>
      <c r="E5" t="s">
        <v>95</v>
      </c>
      <c r="F5" t="s">
        <v>0</v>
      </c>
      <c r="G5" t="s">
        <v>95</v>
      </c>
      <c r="H5" t="s">
        <v>68</v>
      </c>
      <c r="I5" t="s">
        <v>95</v>
      </c>
      <c r="J5" t="s">
        <v>59</v>
      </c>
      <c r="K5" t="s">
        <v>95</v>
      </c>
      <c r="L5" t="s">
        <v>64</v>
      </c>
      <c r="M5" t="s">
        <v>95</v>
      </c>
      <c r="O5" t="s">
        <v>95</v>
      </c>
      <c r="Q5" t="s">
        <v>95</v>
      </c>
      <c r="R5" s="39"/>
      <c r="S5" t="s">
        <v>95</v>
      </c>
      <c r="T5" t="s">
        <v>64</v>
      </c>
      <c r="U5" s="38" t="s">
        <v>84</v>
      </c>
      <c r="W5" t="str">
        <f t="shared" si="0"/>
        <v>call populate_meesage(30:AE:A4:07:0D:64,Centralna,A,2022/09/11/1/8/8,								,,,,,)</v>
      </c>
    </row>
    <row r="6" spans="1:23" x14ac:dyDescent="0.35">
      <c r="A6" t="s">
        <v>52</v>
      </c>
      <c r="B6" t="s">
        <v>54</v>
      </c>
      <c r="C6" t="s">
        <v>95</v>
      </c>
      <c r="D6" s="19" t="s">
        <v>53</v>
      </c>
      <c r="E6" t="s">
        <v>95</v>
      </c>
      <c r="F6" t="s">
        <v>0</v>
      </c>
      <c r="G6" t="s">
        <v>95</v>
      </c>
      <c r="H6" t="s">
        <v>69</v>
      </c>
      <c r="I6" t="s">
        <v>95</v>
      </c>
      <c r="J6" t="s">
        <v>59</v>
      </c>
      <c r="K6" t="s">
        <v>95</v>
      </c>
      <c r="L6" t="s">
        <v>64</v>
      </c>
      <c r="M6" t="s">
        <v>95</v>
      </c>
      <c r="O6" t="s">
        <v>95</v>
      </c>
      <c r="Q6" t="s">
        <v>95</v>
      </c>
      <c r="R6" s="39"/>
      <c r="S6" t="s">
        <v>95</v>
      </c>
      <c r="T6" t="s">
        <v>64</v>
      </c>
      <c r="U6" s="38" t="s">
        <v>84</v>
      </c>
      <c r="W6" t="str">
        <f t="shared" si="0"/>
        <v>call populate_meesage(30:AE:A4:07:0D:64,CentralaMC,A,2022/09/8/0/8/8,								,,,,,)</v>
      </c>
    </row>
    <row r="7" spans="1:23" x14ac:dyDescent="0.35">
      <c r="A7" t="s">
        <v>52</v>
      </c>
      <c r="B7" t="s">
        <v>54</v>
      </c>
      <c r="C7" t="s">
        <v>95</v>
      </c>
      <c r="D7" s="20" t="s">
        <v>53</v>
      </c>
      <c r="E7" t="s">
        <v>95</v>
      </c>
      <c r="F7" t="s">
        <v>0</v>
      </c>
      <c r="G7" t="s">
        <v>95</v>
      </c>
      <c r="H7" t="s">
        <v>70</v>
      </c>
      <c r="I7" t="s">
        <v>95</v>
      </c>
      <c r="J7" t="s">
        <v>59</v>
      </c>
      <c r="K7" t="s">
        <v>95</v>
      </c>
      <c r="L7" t="s">
        <v>64</v>
      </c>
      <c r="M7" t="s">
        <v>95</v>
      </c>
      <c r="O7" t="s">
        <v>95</v>
      </c>
      <c r="Q7" t="s">
        <v>95</v>
      </c>
      <c r="R7" s="39"/>
      <c r="S7" t="s">
        <v>95</v>
      </c>
      <c r="T7" t="s">
        <v>64</v>
      </c>
      <c r="U7" s="38" t="s">
        <v>84</v>
      </c>
      <c r="W7" t="str">
        <f t="shared" si="0"/>
        <v>call populate_meesage(30:AE:A4:07:0D:64,CentralaMC,A,2022/09/11/19/59/8,								,,,,,)</v>
      </c>
    </row>
    <row r="8" spans="1:23" x14ac:dyDescent="0.35">
      <c r="A8" t="s">
        <v>52</v>
      </c>
      <c r="B8" t="s">
        <v>54</v>
      </c>
      <c r="C8" t="s">
        <v>95</v>
      </c>
      <c r="D8" s="19" t="s">
        <v>53</v>
      </c>
      <c r="E8" t="s">
        <v>95</v>
      </c>
      <c r="F8" t="s">
        <v>0</v>
      </c>
      <c r="G8" t="s">
        <v>95</v>
      </c>
      <c r="H8" t="s">
        <v>71</v>
      </c>
      <c r="I8" t="s">
        <v>95</v>
      </c>
      <c r="J8" t="s">
        <v>59</v>
      </c>
      <c r="K8" t="s">
        <v>95</v>
      </c>
      <c r="L8" t="s">
        <v>64</v>
      </c>
      <c r="M8" t="s">
        <v>95</v>
      </c>
      <c r="O8" t="s">
        <v>95</v>
      </c>
      <c r="Q8" t="s">
        <v>95</v>
      </c>
      <c r="R8" s="39"/>
      <c r="S8" t="s">
        <v>95</v>
      </c>
      <c r="T8" t="s">
        <v>64</v>
      </c>
      <c r="U8" s="38" t="s">
        <v>84</v>
      </c>
      <c r="W8" t="str">
        <f t="shared" si="0"/>
        <v>call populate_meesage(30:AE:A4:07:0D:64,CentralaMC,A,2022/09/14/5/8/8,								,,,,,)</v>
      </c>
    </row>
    <row r="9" spans="1:23" x14ac:dyDescent="0.35">
      <c r="A9" t="s">
        <v>52</v>
      </c>
      <c r="B9" t="s">
        <v>54</v>
      </c>
      <c r="C9" t="s">
        <v>95</v>
      </c>
      <c r="D9" s="20" t="s">
        <v>53</v>
      </c>
      <c r="E9" t="s">
        <v>95</v>
      </c>
      <c r="F9" t="s">
        <v>0</v>
      </c>
      <c r="G9" t="s">
        <v>95</v>
      </c>
      <c r="H9" t="s">
        <v>61</v>
      </c>
      <c r="I9" t="s">
        <v>95</v>
      </c>
      <c r="J9" t="s">
        <v>72</v>
      </c>
      <c r="K9" t="s">
        <v>95</v>
      </c>
      <c r="L9" t="s">
        <v>58</v>
      </c>
      <c r="M9" t="s">
        <v>95</v>
      </c>
      <c r="N9" t="s">
        <v>59</v>
      </c>
      <c r="O9" t="s">
        <v>95</v>
      </c>
      <c r="Q9" t="s">
        <v>95</v>
      </c>
      <c r="R9" s="39"/>
      <c r="S9" t="s">
        <v>95</v>
      </c>
      <c r="T9" t="s">
        <v>64</v>
      </c>
      <c r="U9" s="38" t="s">
        <v>84</v>
      </c>
      <c r="W9" t="str">
        <f t="shared" si="0"/>
        <v>call populate_meesage(30:AE:A4:07:0D:64,CentralaMC,A,2022/09/11/19/8/8,PodLasem,30:AE:B4:08:AD:64,								,,,)</v>
      </c>
    </row>
    <row r="17" spans="1:1" x14ac:dyDescent="0.35">
      <c r="A17" t="s">
        <v>98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AC3869B-3EE8-4A7C-84D4-18843E6AB9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mockdata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MCElectronics</dc:creator>
  <cp:lastModifiedBy>ŻWIREK KRZYSZTOF FLORIAN</cp:lastModifiedBy>
  <dcterms:created xsi:type="dcterms:W3CDTF">2015-06-05T18:19:34Z</dcterms:created>
  <dcterms:modified xsi:type="dcterms:W3CDTF">2022-11-24T14:37:49Z</dcterms:modified>
</cp:coreProperties>
</file>